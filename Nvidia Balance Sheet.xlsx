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MLS\Documents\"/>
    </mc:Choice>
  </mc:AlternateContent>
  <xr:revisionPtr revIDLastSave="0" documentId="8_{EA49CF8F-B69E-42C2-B9B8-684E003F414A}" xr6:coauthVersionLast="47" xr6:coauthVersionMax="47" xr10:uidLastSave="{00000000-0000-0000-0000-000000000000}"/>
  <bookViews>
    <workbookView xWindow="6570" yWindow="300" windowWidth="24150" windowHeight="12330" xr2:uid="{F4FB4D41-B20D-4BBF-A249-EDC8D85CD0E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46" i="1" l="1"/>
  <c r="G46" i="1"/>
  <c r="J42" i="1"/>
  <c r="G42" i="1"/>
  <c r="J40" i="1"/>
  <c r="G40" i="1"/>
  <c r="J34" i="1"/>
  <c r="G34" i="1"/>
  <c r="J24" i="1"/>
  <c r="G24" i="1"/>
  <c r="J26" i="1"/>
  <c r="J15" i="1"/>
  <c r="G15" i="1"/>
  <c r="G26" i="1" l="1"/>
</calcChain>
</file>

<file path=xl/sharedStrings.xml><?xml version="1.0" encoding="utf-8"?>
<sst xmlns="http://schemas.openxmlformats.org/spreadsheetml/2006/main" count="30" uniqueCount="30">
  <si>
    <t xml:space="preserve"> Balance sheet for Q1 of 2025</t>
  </si>
  <si>
    <t>Assets</t>
  </si>
  <si>
    <t>Current Assets</t>
  </si>
  <si>
    <t>Cash, Cash Equivalents and Marketable Securities</t>
  </si>
  <si>
    <t>Invetories</t>
  </si>
  <si>
    <t>Prepaid Expenses and other Current Assets</t>
  </si>
  <si>
    <t>Total Current Assets</t>
  </si>
  <si>
    <t>Accounts Recievable , Net</t>
  </si>
  <si>
    <t>Property and  Equipment , Net</t>
  </si>
  <si>
    <t>Operating Lease Assets</t>
  </si>
  <si>
    <t>Goodwill</t>
  </si>
  <si>
    <t>Intangible Assets , Net</t>
  </si>
  <si>
    <t>Deffered Income Tax , Assets</t>
  </si>
  <si>
    <t>Other Assets</t>
  </si>
  <si>
    <t>Total Non-Current Assets</t>
  </si>
  <si>
    <t>Total  Assets</t>
  </si>
  <si>
    <t>Liabilities and Share Holderes Equity</t>
  </si>
  <si>
    <t>Current Liabilities</t>
  </si>
  <si>
    <t>Accounts Payable</t>
  </si>
  <si>
    <t>Accrued and other Current Liabilities</t>
  </si>
  <si>
    <t>Total Current Liabilities</t>
  </si>
  <si>
    <t>Long Term Liabilities</t>
  </si>
  <si>
    <t>Long Term Debt</t>
  </si>
  <si>
    <t>Long Term Operating Lease Properties</t>
  </si>
  <si>
    <t>Other Long Term Liabilities</t>
  </si>
  <si>
    <t>Total Liabilities</t>
  </si>
  <si>
    <t>Total Long Term Liabilities</t>
  </si>
  <si>
    <t>Share Holder's Equity</t>
  </si>
  <si>
    <t>Total Liabilities and Share Holder's Equity</t>
  </si>
  <si>
    <r>
      <t xml:space="preserve">   </t>
    </r>
    <r>
      <rPr>
        <b/>
        <sz val="28"/>
        <color theme="1"/>
        <rFont val="72 Monospace"/>
        <family val="3"/>
      </rPr>
      <t>Nvidia Corporation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</si>
</sst>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£&quot;* #,##0.00_-;\-&quot;£&quot;* #,##0.00_-;_-&quot;£&quot;* &quot;-&quot;??_-;_-@_-"/>
    <numFmt numFmtId="164" formatCode="_-[$$-409]* #,##0.00_ ;_-[$$-409]* \-#,##0.00\ ;_-[$$-409]* &quot;-&quot;??_ ;_-@_ "/>
    <numFmt numFmtId="165" formatCode="_-[$$-409]* #,##0_ ;_-[$$-409]* \-#,##0\ ;_-[$$-409]* &quot;-&quot;??_ ;_-@_ 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28"/>
      <color theme="1"/>
      <name val="72 Monospace"/>
      <family val="3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8"/>
      <color theme="1"/>
      <name val="72 Monospace"/>
      <family val="3"/>
    </font>
    <font>
      <b/>
      <sz val="12"/>
      <color theme="1"/>
      <name val="72 Monospace"/>
      <family val="3"/>
    </font>
    <font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49">
    <xf numFmtId="0" fontId="0" fillId="0" borderId="0" xfId="0"/>
    <xf numFmtId="165" fontId="4" fillId="0" borderId="0" xfId="1" applyNumberFormat="1" applyFont="1" applyBorder="1"/>
    <xf numFmtId="0" fontId="3" fillId="0" borderId="0" xfId="0" applyFont="1" applyBorder="1" applyAlignment="1">
      <alignment horizontal="center"/>
    </xf>
    <xf numFmtId="0" fontId="0" fillId="0" borderId="0" xfId="0" applyBorder="1"/>
    <xf numFmtId="165" fontId="4" fillId="0" borderId="0" xfId="0" applyNumberFormat="1" applyFont="1" applyBorder="1"/>
    <xf numFmtId="0" fontId="5" fillId="0" borderId="0" xfId="0" applyFont="1" applyBorder="1"/>
    <xf numFmtId="0" fontId="4" fillId="0" borderId="0" xfId="0" applyFont="1" applyBorder="1"/>
    <xf numFmtId="0" fontId="2" fillId="0" borderId="0" xfId="0" applyFont="1" applyBorder="1"/>
    <xf numFmtId="164" fontId="4" fillId="0" borderId="0" xfId="0" applyNumberFormat="1" applyFont="1" applyBorder="1"/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0" fillId="0" borderId="4" xfId="0" applyBorder="1"/>
    <xf numFmtId="0" fontId="0" fillId="0" borderId="5" xfId="0" applyBorder="1"/>
    <xf numFmtId="0" fontId="6" fillId="0" borderId="4" xfId="0" applyFont="1" applyBorder="1"/>
    <xf numFmtId="0" fontId="5" fillId="0" borderId="4" xfId="0" applyFont="1" applyBorder="1"/>
    <xf numFmtId="0" fontId="4" fillId="0" borderId="4" xfId="0" applyFon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8" fillId="0" borderId="9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0" fontId="8" fillId="0" borderId="11" xfId="0" applyFont="1" applyBorder="1" applyAlignment="1">
      <alignment horizontal="center"/>
    </xf>
    <xf numFmtId="0" fontId="0" fillId="0" borderId="2" xfId="0" applyBorder="1"/>
    <xf numFmtId="0" fontId="0" fillId="0" borderId="3" xfId="0" applyBorder="1"/>
    <xf numFmtId="0" fontId="5" fillId="0" borderId="0" xfId="0" applyFont="1" applyFill="1" applyBorder="1"/>
    <xf numFmtId="165" fontId="5" fillId="0" borderId="0" xfId="0" applyNumberFormat="1" applyFont="1" applyBorder="1"/>
    <xf numFmtId="165" fontId="5" fillId="0" borderId="0" xfId="1" applyNumberFormat="1" applyFont="1" applyBorder="1"/>
    <xf numFmtId="165" fontId="5" fillId="0" borderId="0" xfId="0" applyNumberFormat="1" applyFont="1" applyFill="1" applyBorder="1"/>
    <xf numFmtId="0" fontId="6" fillId="0" borderId="1" xfId="0" applyFont="1" applyBorder="1"/>
    <xf numFmtId="0" fontId="9" fillId="0" borderId="2" xfId="0" applyFont="1" applyBorder="1"/>
    <xf numFmtId="165" fontId="6" fillId="0" borderId="2" xfId="1" applyNumberFormat="1" applyFont="1" applyBorder="1"/>
    <xf numFmtId="0" fontId="10" fillId="0" borderId="4" xfId="0" applyFont="1" applyBorder="1"/>
    <xf numFmtId="0" fontId="6" fillId="0" borderId="9" xfId="0" applyFont="1" applyBorder="1"/>
    <xf numFmtId="0" fontId="0" fillId="0" borderId="10" xfId="0" applyBorder="1"/>
    <xf numFmtId="165" fontId="6" fillId="0" borderId="10" xfId="1" applyNumberFormat="1" applyFont="1" applyBorder="1"/>
    <xf numFmtId="0" fontId="9" fillId="0" borderId="10" xfId="0" applyFont="1" applyBorder="1"/>
    <xf numFmtId="0" fontId="0" fillId="0" borderId="11" xfId="0" applyBorder="1"/>
    <xf numFmtId="0" fontId="5" fillId="0" borderId="2" xfId="0" applyFont="1" applyFill="1" applyBorder="1"/>
    <xf numFmtId="0" fontId="5" fillId="0" borderId="2" xfId="0" applyFont="1" applyBorder="1"/>
    <xf numFmtId="165" fontId="6" fillId="0" borderId="2" xfId="0" applyNumberFormat="1" applyFont="1" applyFill="1" applyBorder="1"/>
    <xf numFmtId="165" fontId="6" fillId="0" borderId="0" xfId="0" applyNumberFormat="1" applyFont="1" applyBorder="1"/>
    <xf numFmtId="0" fontId="9" fillId="0" borderId="0" xfId="0" applyFont="1" applyBorder="1"/>
    <xf numFmtId="165" fontId="6" fillId="0" borderId="10" xfId="0" applyNumberFormat="1" applyFont="1" applyBorder="1"/>
    <xf numFmtId="0" fontId="0" fillId="0" borderId="1" xfId="0" applyBorder="1"/>
    <xf numFmtId="165" fontId="6" fillId="0" borderId="10" xfId="0" applyNumberFormat="1" applyFont="1" applyFill="1" applyBorder="1"/>
    <xf numFmtId="0" fontId="5" fillId="0" borderId="10" xfId="0" applyFont="1" applyBorder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416718</xdr:colOff>
      <xdr:row>0</xdr:row>
      <xdr:rowOff>0</xdr:rowOff>
    </xdr:from>
    <xdr:to>
      <xdr:col>5</xdr:col>
      <xdr:colOff>322064</xdr:colOff>
      <xdr:row>2</xdr:row>
      <xdr:rowOff>66675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7FFEEDE-5650-AFF2-7429-627AFCD651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74531" y="0"/>
          <a:ext cx="905471" cy="70961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73E70E-4399-44BA-A306-F6F8378D0341}">
  <dimension ref="A1:M69"/>
  <sheetViews>
    <sheetView showGridLines="0" tabSelected="1" view="pageBreakPreview" topLeftCell="A20" zoomScale="60" zoomScaleNormal="80" workbookViewId="0">
      <selection activeCell="E58" sqref="E58"/>
    </sheetView>
  </sheetViews>
  <sheetFormatPr defaultRowHeight="15" x14ac:dyDescent="0.25"/>
  <cols>
    <col min="1" max="1" width="10.28515625" customWidth="1"/>
    <col min="2" max="2" width="51.7109375" bestFit="1" customWidth="1"/>
    <col min="5" max="5" width="15" bestFit="1" customWidth="1"/>
    <col min="7" max="7" width="15.28515625" bestFit="1" customWidth="1"/>
    <col min="10" max="10" width="15.28515625" bestFit="1" customWidth="1"/>
  </cols>
  <sheetData>
    <row r="1" spans="1:13" ht="36" customHeight="1" x14ac:dyDescent="0.25">
      <c r="A1" s="9" t="s">
        <v>29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1"/>
    </row>
    <row r="2" spans="1:13" x14ac:dyDescent="0.25">
      <c r="A2" s="1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13"/>
    </row>
    <row r="3" spans="1:13" x14ac:dyDescent="0.25">
      <c r="A3" s="1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13"/>
    </row>
    <row r="4" spans="1:13" x14ac:dyDescent="0.25">
      <c r="A4" s="1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13"/>
    </row>
    <row r="5" spans="1:13" ht="15.75" x14ac:dyDescent="0.25">
      <c r="A5" s="22" t="s">
        <v>0</v>
      </c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4"/>
    </row>
    <row r="6" spans="1:13" x14ac:dyDescent="0.25">
      <c r="A6" s="14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15"/>
    </row>
    <row r="7" spans="1:13" ht="21" x14ac:dyDescent="0.35">
      <c r="A7" s="16"/>
      <c r="B7" s="3"/>
      <c r="C7" s="3"/>
      <c r="D7" s="3"/>
      <c r="E7" s="4"/>
      <c r="F7" s="4"/>
      <c r="G7" s="4"/>
      <c r="H7" s="3"/>
      <c r="I7" s="3"/>
      <c r="J7" s="3"/>
      <c r="K7" s="3"/>
      <c r="L7" s="3"/>
      <c r="M7" s="15"/>
    </row>
    <row r="8" spans="1:13" ht="23.25" x14ac:dyDescent="0.35">
      <c r="A8" s="34" t="s">
        <v>1</v>
      </c>
      <c r="B8" s="3"/>
      <c r="C8" s="3"/>
      <c r="D8" s="3"/>
      <c r="E8" s="4"/>
      <c r="F8" s="4"/>
      <c r="G8" s="4"/>
      <c r="H8" s="3"/>
      <c r="I8" s="3"/>
      <c r="J8" s="3"/>
      <c r="K8" s="3"/>
      <c r="L8" s="3"/>
      <c r="M8" s="15"/>
    </row>
    <row r="9" spans="1:13" ht="21" x14ac:dyDescent="0.35">
      <c r="A9" s="16" t="s">
        <v>2</v>
      </c>
      <c r="B9" s="3"/>
      <c r="C9" s="3"/>
      <c r="D9" s="3"/>
      <c r="E9" s="4"/>
      <c r="F9" s="4"/>
      <c r="G9" s="4"/>
      <c r="H9" s="3"/>
      <c r="I9" s="3"/>
      <c r="J9" s="3"/>
      <c r="K9" s="3"/>
      <c r="L9" s="3"/>
      <c r="M9" s="15"/>
    </row>
    <row r="10" spans="1:13" ht="21" x14ac:dyDescent="0.35">
      <c r="A10" s="16"/>
      <c r="B10" s="5" t="s">
        <v>3</v>
      </c>
      <c r="C10" s="5"/>
      <c r="D10" s="5"/>
      <c r="E10" s="28"/>
      <c r="F10" s="28"/>
      <c r="G10" s="28">
        <v>53691</v>
      </c>
      <c r="H10" s="5"/>
      <c r="I10" s="5"/>
      <c r="J10" s="28">
        <v>43210</v>
      </c>
      <c r="K10" s="3"/>
      <c r="L10" s="3"/>
      <c r="M10" s="15"/>
    </row>
    <row r="11" spans="1:13" ht="21" x14ac:dyDescent="0.35">
      <c r="A11" s="16"/>
      <c r="B11" s="5" t="s">
        <v>7</v>
      </c>
      <c r="C11" s="5"/>
      <c r="D11" s="5"/>
      <c r="E11" s="28"/>
      <c r="F11" s="28"/>
      <c r="G11" s="28">
        <v>22132</v>
      </c>
      <c r="H11" s="5"/>
      <c r="I11" s="5"/>
      <c r="J11" s="28">
        <v>23065</v>
      </c>
      <c r="K11" s="3"/>
      <c r="L11" s="3"/>
      <c r="M11" s="15"/>
    </row>
    <row r="12" spans="1:13" ht="18.75" x14ac:dyDescent="0.3">
      <c r="A12" s="14"/>
      <c r="B12" s="5" t="s">
        <v>4</v>
      </c>
      <c r="C12" s="5"/>
      <c r="D12" s="5"/>
      <c r="E12" s="5"/>
      <c r="F12" s="5"/>
      <c r="G12" s="29">
        <v>11333</v>
      </c>
      <c r="H12" s="5"/>
      <c r="I12" s="5"/>
      <c r="J12" s="29">
        <v>10080</v>
      </c>
      <c r="K12" s="3"/>
      <c r="L12" s="3"/>
      <c r="M12" s="15"/>
    </row>
    <row r="13" spans="1:13" ht="18.75" x14ac:dyDescent="0.3">
      <c r="A13" s="14"/>
      <c r="B13" s="27" t="s">
        <v>5</v>
      </c>
      <c r="C13" s="5"/>
      <c r="D13" s="5"/>
      <c r="E13" s="5"/>
      <c r="F13" s="5"/>
      <c r="G13" s="30">
        <v>2779</v>
      </c>
      <c r="H13" s="5"/>
      <c r="I13" s="5"/>
      <c r="J13" s="30">
        <v>3771</v>
      </c>
      <c r="K13" s="3"/>
      <c r="L13" s="3"/>
      <c r="M13" s="15"/>
    </row>
    <row r="14" spans="1:13" ht="21" x14ac:dyDescent="0.35">
      <c r="A14" s="16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15"/>
    </row>
    <row r="15" spans="1:13" ht="21" x14ac:dyDescent="0.35">
      <c r="A15" s="31" t="s">
        <v>6</v>
      </c>
      <c r="B15" s="32"/>
      <c r="C15" s="32"/>
      <c r="D15" s="32"/>
      <c r="E15" s="33"/>
      <c r="F15" s="33"/>
      <c r="G15" s="33">
        <f>SUM(G10:G13)</f>
        <v>89935</v>
      </c>
      <c r="H15" s="32"/>
      <c r="I15" s="32"/>
      <c r="J15" s="33">
        <f>SUM(J10:J13)</f>
        <v>80126</v>
      </c>
      <c r="K15" s="25"/>
      <c r="L15" s="25"/>
      <c r="M15" s="26"/>
    </row>
    <row r="16" spans="1:13" ht="18.75" x14ac:dyDescent="0.3">
      <c r="A16" s="17"/>
      <c r="B16" s="3"/>
      <c r="C16" s="3"/>
      <c r="D16" s="3"/>
      <c r="E16" s="1"/>
      <c r="F16" s="1"/>
      <c r="G16" s="1"/>
      <c r="H16" s="3"/>
      <c r="I16" s="3"/>
      <c r="J16" s="3"/>
      <c r="K16" s="3"/>
      <c r="L16" s="3"/>
      <c r="M16" s="15"/>
    </row>
    <row r="17" spans="1:13" ht="18.75" x14ac:dyDescent="0.3">
      <c r="A17" s="17" t="s">
        <v>8</v>
      </c>
      <c r="B17" s="3"/>
      <c r="C17" s="3"/>
      <c r="D17" s="3"/>
      <c r="E17" s="3"/>
      <c r="F17" s="3"/>
      <c r="G17" s="28">
        <v>7136</v>
      </c>
      <c r="H17" s="3"/>
      <c r="I17" s="3"/>
      <c r="J17" s="28">
        <v>6283</v>
      </c>
      <c r="K17" s="3"/>
      <c r="L17" s="3"/>
      <c r="M17" s="15"/>
    </row>
    <row r="18" spans="1:13" ht="18.75" x14ac:dyDescent="0.3">
      <c r="A18" s="17" t="s">
        <v>9</v>
      </c>
      <c r="B18" s="3"/>
      <c r="C18" s="3"/>
      <c r="D18" s="3"/>
      <c r="E18" s="4"/>
      <c r="F18" s="6"/>
      <c r="G18" s="28">
        <v>1810</v>
      </c>
      <c r="H18" s="3"/>
      <c r="I18" s="3"/>
      <c r="J18" s="28">
        <v>1793</v>
      </c>
      <c r="K18" s="3"/>
      <c r="L18" s="3"/>
      <c r="M18" s="15"/>
    </row>
    <row r="19" spans="1:13" ht="18.75" x14ac:dyDescent="0.3">
      <c r="A19" s="17" t="s">
        <v>10</v>
      </c>
      <c r="B19" s="3"/>
      <c r="C19" s="3"/>
      <c r="D19" s="3"/>
      <c r="E19" s="3"/>
      <c r="F19" s="3"/>
      <c r="G19" s="29">
        <v>5498</v>
      </c>
      <c r="H19" s="3"/>
      <c r="I19" s="3"/>
      <c r="J19" s="29">
        <v>5188</v>
      </c>
      <c r="K19" s="3"/>
      <c r="L19" s="3"/>
      <c r="M19" s="15"/>
    </row>
    <row r="20" spans="1:13" ht="18.75" x14ac:dyDescent="0.3">
      <c r="A20" s="17" t="s">
        <v>11</v>
      </c>
      <c r="B20" s="3"/>
      <c r="C20" s="3"/>
      <c r="D20" s="3"/>
      <c r="E20" s="4"/>
      <c r="F20" s="7"/>
      <c r="G20" s="30">
        <v>769</v>
      </c>
      <c r="H20" s="3"/>
      <c r="I20" s="3"/>
      <c r="J20" s="30">
        <v>807</v>
      </c>
      <c r="K20" s="3"/>
      <c r="L20" s="3"/>
      <c r="M20" s="15"/>
    </row>
    <row r="21" spans="1:13" ht="18.75" x14ac:dyDescent="0.3">
      <c r="A21" s="17" t="s">
        <v>12</v>
      </c>
      <c r="B21" s="3"/>
      <c r="C21" s="3"/>
      <c r="D21" s="3"/>
      <c r="E21" s="4"/>
      <c r="F21" s="4"/>
      <c r="G21" s="28">
        <v>13318</v>
      </c>
      <c r="H21" s="3"/>
      <c r="I21" s="3"/>
      <c r="J21" s="28">
        <v>10979</v>
      </c>
      <c r="K21" s="3"/>
      <c r="L21" s="3"/>
      <c r="M21" s="15"/>
    </row>
    <row r="22" spans="1:13" ht="18.75" x14ac:dyDescent="0.3">
      <c r="A22" s="17" t="s">
        <v>13</v>
      </c>
      <c r="B22" s="3"/>
      <c r="C22" s="3"/>
      <c r="D22" s="3"/>
      <c r="E22" s="4"/>
      <c r="F22" s="4"/>
      <c r="G22" s="28">
        <v>6788</v>
      </c>
      <c r="H22" s="3"/>
      <c r="I22" s="3"/>
      <c r="J22" s="28">
        <v>6425</v>
      </c>
      <c r="K22" s="3"/>
      <c r="L22" s="3"/>
      <c r="M22" s="15"/>
    </row>
    <row r="23" spans="1:13" ht="18.75" x14ac:dyDescent="0.3">
      <c r="A23" s="17"/>
      <c r="B23" s="3"/>
      <c r="C23" s="3"/>
      <c r="D23" s="3"/>
      <c r="E23" s="4"/>
      <c r="F23" s="4"/>
      <c r="G23" s="29"/>
      <c r="H23" s="3"/>
      <c r="I23" s="3"/>
      <c r="J23" s="3"/>
      <c r="K23" s="3"/>
      <c r="L23" s="3"/>
      <c r="M23" s="15"/>
    </row>
    <row r="24" spans="1:13" ht="21" x14ac:dyDescent="0.35">
      <c r="A24" s="31" t="s">
        <v>14</v>
      </c>
      <c r="B24" s="25"/>
      <c r="C24" s="25"/>
      <c r="D24" s="25"/>
      <c r="E24" s="25"/>
      <c r="F24" s="25"/>
      <c r="G24" s="33">
        <f>SUM(G17:G22)</f>
        <v>35319</v>
      </c>
      <c r="H24" s="32"/>
      <c r="I24" s="32"/>
      <c r="J24" s="33">
        <f>SUM(J17:J22)</f>
        <v>31475</v>
      </c>
      <c r="K24" s="25"/>
      <c r="L24" s="25"/>
      <c r="M24" s="26"/>
    </row>
    <row r="25" spans="1:13" ht="21" x14ac:dyDescent="0.35">
      <c r="A25" s="16"/>
      <c r="B25" s="3"/>
      <c r="C25" s="3"/>
      <c r="D25" s="3"/>
      <c r="E25" s="4"/>
      <c r="F25" s="6"/>
      <c r="G25" s="4"/>
      <c r="H25" s="6"/>
      <c r="I25" s="3"/>
      <c r="J25" s="3"/>
      <c r="K25" s="3"/>
      <c r="L25" s="3"/>
      <c r="M25" s="15"/>
    </row>
    <row r="26" spans="1:13" ht="21" x14ac:dyDescent="0.35">
      <c r="A26" s="35" t="s">
        <v>15</v>
      </c>
      <c r="B26" s="36"/>
      <c r="C26" s="36"/>
      <c r="D26" s="36"/>
      <c r="E26" s="36"/>
      <c r="F26" s="36"/>
      <c r="G26" s="37">
        <f>G15+G24</f>
        <v>125254</v>
      </c>
      <c r="H26" s="38"/>
      <c r="I26" s="38"/>
      <c r="J26" s="37">
        <f>J15+J24</f>
        <v>111601</v>
      </c>
      <c r="K26" s="36"/>
      <c r="L26" s="36"/>
      <c r="M26" s="39"/>
    </row>
    <row r="27" spans="1:13" x14ac:dyDescent="0.25">
      <c r="A27" s="14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15"/>
    </row>
    <row r="28" spans="1:13" ht="23.25" x14ac:dyDescent="0.35">
      <c r="A28" s="34" t="s">
        <v>16</v>
      </c>
      <c r="B28" s="3"/>
      <c r="C28" s="3"/>
      <c r="D28" s="3"/>
      <c r="E28" s="4"/>
      <c r="F28" s="6"/>
      <c r="G28" s="4"/>
      <c r="H28" s="3"/>
      <c r="I28" s="3"/>
      <c r="J28" s="3"/>
      <c r="K28" s="3"/>
      <c r="L28" s="3"/>
      <c r="M28" s="15"/>
    </row>
    <row r="29" spans="1:13" ht="18.75" x14ac:dyDescent="0.3">
      <c r="A29" s="17"/>
      <c r="B29" s="3"/>
      <c r="C29" s="3"/>
      <c r="D29" s="3"/>
      <c r="E29" s="4"/>
      <c r="F29" s="3"/>
      <c r="G29" s="4"/>
      <c r="H29" s="3"/>
      <c r="I29" s="3"/>
      <c r="J29" s="3"/>
      <c r="K29" s="3"/>
      <c r="L29" s="3"/>
      <c r="M29" s="15"/>
    </row>
    <row r="30" spans="1:13" ht="21" x14ac:dyDescent="0.35">
      <c r="A30" s="16" t="s">
        <v>17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15"/>
    </row>
    <row r="31" spans="1:13" ht="21" x14ac:dyDescent="0.35">
      <c r="A31" s="16"/>
      <c r="B31" s="5" t="s">
        <v>18</v>
      </c>
      <c r="C31" s="5"/>
      <c r="D31" s="5"/>
      <c r="E31" s="28"/>
      <c r="F31" s="28"/>
      <c r="G31" s="28">
        <v>7331</v>
      </c>
      <c r="H31" s="5"/>
      <c r="I31" s="5"/>
      <c r="J31" s="28">
        <v>6310</v>
      </c>
      <c r="K31" s="3"/>
      <c r="L31" s="3"/>
      <c r="M31" s="15"/>
    </row>
    <row r="32" spans="1:13" ht="18.75" x14ac:dyDescent="0.3">
      <c r="A32" s="14"/>
      <c r="B32" s="5" t="s">
        <v>19</v>
      </c>
      <c r="C32" s="5"/>
      <c r="D32" s="5"/>
      <c r="E32" s="28"/>
      <c r="F32" s="28"/>
      <c r="G32" s="28">
        <v>19211</v>
      </c>
      <c r="H32" s="5"/>
      <c r="I32" s="5"/>
      <c r="J32" s="28">
        <v>11737</v>
      </c>
      <c r="K32" s="3"/>
      <c r="L32" s="3"/>
      <c r="M32" s="15"/>
    </row>
    <row r="33" spans="1:13" ht="18.75" x14ac:dyDescent="0.3">
      <c r="A33" s="17"/>
      <c r="B33" s="5"/>
      <c r="C33" s="5"/>
      <c r="D33" s="5"/>
      <c r="E33" s="5"/>
      <c r="F33" s="5"/>
      <c r="G33" s="29"/>
      <c r="H33" s="5"/>
      <c r="I33" s="5"/>
      <c r="J33" s="29"/>
      <c r="K33" s="3"/>
      <c r="L33" s="3"/>
      <c r="M33" s="15"/>
    </row>
    <row r="34" spans="1:13" ht="21" x14ac:dyDescent="0.35">
      <c r="A34" s="31" t="s">
        <v>20</v>
      </c>
      <c r="B34" s="40"/>
      <c r="C34" s="41"/>
      <c r="D34" s="41"/>
      <c r="E34" s="41"/>
      <c r="F34" s="41"/>
      <c r="G34" s="42">
        <f>SUM(G31:G32)</f>
        <v>26542</v>
      </c>
      <c r="H34" s="41"/>
      <c r="I34" s="41"/>
      <c r="J34" s="42">
        <f>SUM(J31:J32)</f>
        <v>18047</v>
      </c>
      <c r="K34" s="25"/>
      <c r="L34" s="25"/>
      <c r="M34" s="26"/>
    </row>
    <row r="35" spans="1:13" ht="15.75" x14ac:dyDescent="0.25">
      <c r="A35" s="18"/>
      <c r="B35" s="6"/>
      <c r="C35" s="6"/>
      <c r="D35" s="6"/>
      <c r="E35" s="8"/>
      <c r="F35" s="6"/>
      <c r="G35" s="8"/>
      <c r="H35" s="3"/>
      <c r="I35" s="3"/>
      <c r="J35" s="3"/>
      <c r="K35" s="3"/>
      <c r="L35" s="3"/>
      <c r="M35" s="15"/>
    </row>
    <row r="36" spans="1:13" ht="21" x14ac:dyDescent="0.35">
      <c r="A36" s="16" t="s">
        <v>21</v>
      </c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15"/>
    </row>
    <row r="37" spans="1:13" ht="21" x14ac:dyDescent="0.35">
      <c r="A37" s="16"/>
      <c r="B37" s="5" t="s">
        <v>22</v>
      </c>
      <c r="C37" s="3"/>
      <c r="D37" s="3"/>
      <c r="E37" s="3"/>
      <c r="F37" s="3"/>
      <c r="G37" s="28">
        <v>8464</v>
      </c>
      <c r="H37" s="5"/>
      <c r="I37" s="5"/>
      <c r="J37" s="28">
        <v>8463</v>
      </c>
      <c r="K37" s="3"/>
      <c r="L37" s="3"/>
      <c r="M37" s="15"/>
    </row>
    <row r="38" spans="1:13" ht="18.75" x14ac:dyDescent="0.3">
      <c r="A38" s="14"/>
      <c r="B38" s="5" t="s">
        <v>23</v>
      </c>
      <c r="C38" s="3"/>
      <c r="D38" s="3"/>
      <c r="E38" s="3"/>
      <c r="F38" s="3"/>
      <c r="G38" s="28">
        <v>1521</v>
      </c>
      <c r="H38" s="5"/>
      <c r="I38" s="5"/>
      <c r="J38" s="28">
        <v>1519</v>
      </c>
      <c r="K38" s="3"/>
      <c r="L38" s="3"/>
      <c r="M38" s="15"/>
    </row>
    <row r="39" spans="1:13" ht="18.75" x14ac:dyDescent="0.3">
      <c r="A39" s="17"/>
      <c r="B39" s="6" t="s">
        <v>24</v>
      </c>
      <c r="C39" s="3"/>
      <c r="D39" s="3"/>
      <c r="E39" s="3"/>
      <c r="F39" s="3"/>
      <c r="G39" s="28">
        <v>4884</v>
      </c>
      <c r="H39" s="5"/>
      <c r="I39" s="5"/>
      <c r="J39" s="28">
        <v>4245</v>
      </c>
      <c r="K39" s="3"/>
      <c r="L39" s="3"/>
      <c r="M39" s="15"/>
    </row>
    <row r="40" spans="1:13" ht="21" x14ac:dyDescent="0.35">
      <c r="A40" s="31" t="s">
        <v>26</v>
      </c>
      <c r="B40" s="25"/>
      <c r="C40" s="25"/>
      <c r="D40" s="25"/>
      <c r="E40" s="25"/>
      <c r="F40" s="25"/>
      <c r="G40" s="42">
        <f>SUM(G37:G39)</f>
        <v>14869</v>
      </c>
      <c r="H40" s="25"/>
      <c r="I40" s="25"/>
      <c r="J40" s="42">
        <f>SUM(J37:J39)</f>
        <v>14227</v>
      </c>
      <c r="K40" s="25"/>
      <c r="L40" s="25"/>
      <c r="M40" s="26"/>
    </row>
    <row r="41" spans="1:13" x14ac:dyDescent="0.25">
      <c r="A41" s="14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15"/>
    </row>
    <row r="42" spans="1:13" ht="21" x14ac:dyDescent="0.35">
      <c r="A42" s="35" t="s">
        <v>25</v>
      </c>
      <c r="B42" s="36"/>
      <c r="C42" s="36"/>
      <c r="D42" s="36"/>
      <c r="E42" s="36"/>
      <c r="F42" s="36"/>
      <c r="G42" s="47">
        <f>G34+G40</f>
        <v>41411</v>
      </c>
      <c r="H42" s="48"/>
      <c r="I42" s="48"/>
      <c r="J42" s="47">
        <f>J34+J40</f>
        <v>32274</v>
      </c>
      <c r="K42" s="36"/>
      <c r="L42" s="36"/>
      <c r="M42" s="39"/>
    </row>
    <row r="43" spans="1:13" x14ac:dyDescent="0.25">
      <c r="A43" s="14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15"/>
    </row>
    <row r="44" spans="1:13" ht="21" x14ac:dyDescent="0.35">
      <c r="A44" s="16" t="s">
        <v>27</v>
      </c>
      <c r="B44" s="3"/>
      <c r="C44" s="3"/>
      <c r="D44" s="3"/>
      <c r="E44" s="3"/>
      <c r="F44" s="3"/>
      <c r="G44" s="43">
        <v>83843</v>
      </c>
      <c r="H44" s="44"/>
      <c r="I44" s="44"/>
      <c r="J44" s="43">
        <v>79327</v>
      </c>
      <c r="K44" s="3"/>
      <c r="L44" s="3"/>
      <c r="M44" s="15"/>
    </row>
    <row r="45" spans="1:13" x14ac:dyDescent="0.25">
      <c r="A45" s="14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15"/>
    </row>
    <row r="46" spans="1:13" ht="21" x14ac:dyDescent="0.35">
      <c r="A46" s="35" t="s">
        <v>28</v>
      </c>
      <c r="B46" s="36"/>
      <c r="C46" s="36"/>
      <c r="D46" s="36"/>
      <c r="E46" s="36"/>
      <c r="F46" s="36"/>
      <c r="G46" s="45">
        <f>G42+G44</f>
        <v>125254</v>
      </c>
      <c r="H46" s="36"/>
      <c r="I46" s="36"/>
      <c r="J46" s="45">
        <f>J42+J44</f>
        <v>111601</v>
      </c>
      <c r="K46" s="36"/>
      <c r="L46" s="36"/>
      <c r="M46" s="39"/>
    </row>
    <row r="47" spans="1:13" x14ac:dyDescent="0.25">
      <c r="A47" s="14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15"/>
    </row>
    <row r="48" spans="1:13" x14ac:dyDescent="0.25">
      <c r="A48" s="19"/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1"/>
    </row>
    <row r="49" spans="1:13" x14ac:dyDescent="0.25">
      <c r="A49" s="46"/>
      <c r="B49" s="25"/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3"/>
    </row>
    <row r="50" spans="1:13" x14ac:dyDescent="0.25">
      <c r="A50" s="14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</row>
    <row r="51" spans="1:13" x14ac:dyDescent="0.25">
      <c r="A51" s="14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</row>
    <row r="52" spans="1:13" x14ac:dyDescent="0.25">
      <c r="A52" s="14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</row>
    <row r="53" spans="1:13" x14ac:dyDescent="0.25">
      <c r="A53" s="14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</row>
    <row r="54" spans="1:13" x14ac:dyDescent="0.25">
      <c r="A54" s="14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</row>
    <row r="55" spans="1:13" x14ac:dyDescent="0.25">
      <c r="A55" s="14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1:13" x14ac:dyDescent="0.25">
      <c r="A56" s="14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1:13" x14ac:dyDescent="0.25">
      <c r="A57" s="14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</row>
    <row r="58" spans="1:13" x14ac:dyDescent="0.25">
      <c r="A58" s="14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</row>
    <row r="59" spans="1:13" x14ac:dyDescent="0.25">
      <c r="A59" s="14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</row>
    <row r="60" spans="1:13" x14ac:dyDescent="0.25">
      <c r="A60" s="14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</row>
    <row r="61" spans="1:13" x14ac:dyDescent="0.25">
      <c r="A61" s="14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</row>
    <row r="62" spans="1:13" x14ac:dyDescent="0.25">
      <c r="A62" s="14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</row>
    <row r="63" spans="1:13" x14ac:dyDescent="0.25">
      <c r="A63" s="14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</row>
    <row r="64" spans="1:13" x14ac:dyDescent="0.25">
      <c r="A64" s="14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</row>
    <row r="65" spans="1:13" x14ac:dyDescent="0.25">
      <c r="A65" s="14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</row>
    <row r="66" spans="1:13" x14ac:dyDescent="0.25">
      <c r="A66" s="14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</row>
    <row r="67" spans="1:13" x14ac:dyDescent="0.25">
      <c r="A67" s="14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1:13" x14ac:dyDescent="0.25">
      <c r="A68" s="14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</row>
    <row r="69" spans="1:13" x14ac:dyDescent="0.2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</row>
  </sheetData>
  <mergeCells count="2">
    <mergeCell ref="A1:M4"/>
    <mergeCell ref="A5:M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Awais Ali</dc:creator>
  <cp:lastModifiedBy>Awais Ali</cp:lastModifiedBy>
  <dcterms:created xsi:type="dcterms:W3CDTF">2026-04-26T11:57:05Z</dcterms:created>
  <dcterms:modified xsi:type="dcterms:W3CDTF">2026-04-26T14:27:01Z</dcterms:modified>
</cp:coreProperties>
</file>